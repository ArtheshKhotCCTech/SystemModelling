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hases" sheetId="3" state="visible" r:id="rId3"/>
    <sheet xmlns:r="http://schemas.openxmlformats.org/officeDocument/2006/relationships" name="Dependencies" sheetId="4" state="visible" r:id="rId4"/>
  </sheets>
  <definedNames>
    <definedName name="_xlnm._FilterDatabase" localSheetId="0" hidden="1">'Tasks'!$A$4:$M$38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</font>
    <font>
      <name val="Consolas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5" fillId="0" borderId="0" pivotButton="0" quotePrefix="0" xfId="0"/>
    <xf numFmtId="164" fontId="5" fillId="0" borderId="0" pivotButton="0" quotePrefix="0" xfId="0"/>
    <xf numFmtId="0" fontId="3" fillId="2" borderId="1" applyAlignment="1" pivotButton="0" quotePrefix="0" xfId="0">
      <alignment horizontal="center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2" fillId="0" borderId="0" pivotButton="0" quotePrefix="0" xfId="0"/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11" customWidth="1" min="3" max="3"/>
    <col width="34" customWidth="1" min="4" max="4"/>
    <col width="58" customWidth="1" min="5" max="5"/>
    <col width="46" customWidth="1" min="6" max="6"/>
    <col width="9" customWidth="1" min="7" max="7"/>
    <col width="9" customWidth="1" min="8" max="8"/>
    <col width="15" customWidth="1" min="9" max="9"/>
    <col width="13" customWidth="1" min="10" max="10"/>
    <col width="11" customWidth="1" min="11" max="11"/>
    <col width="13" customWidth="1" min="12" max="12"/>
    <col width="28" customWidth="1" min="13" max="13"/>
  </cols>
  <sheetData>
    <row r="1">
      <c r="A1" s="1" t="inlineStr">
        <is>
          <t>SpecAlive - Implementation Task Plan</t>
        </is>
      </c>
    </row>
    <row r="2" ht="42" customHeight="1">
      <c r="A2" s="2" t="inlineStr">
        <is>
          <t>Legend: fill the yellow Owner column (dropdown: Arthesh / Parth / Yasmeen / All), e.g. Owner = Parth. Status and Target Day are editable. M = must-have for Floor/Solid tier on L1, S = stretch. Phase / Spec Doc: the phase in docs/implementation_plan.md and its specification in docs/specifications/ (one phase = one spec = one pull request). Hours are rough single-person estimates (source: planning discussion).</t>
        </is>
      </c>
    </row>
    <row r="4">
      <c r="A4" s="3" t="inlineStr">
        <is>
          <t>ID</t>
        </is>
      </c>
      <c r="B4" s="3" t="inlineStr">
        <is>
          <t>Workstream</t>
        </is>
      </c>
      <c r="C4" s="3" t="inlineStr">
        <is>
          <t>Phase</t>
        </is>
      </c>
      <c r="D4" s="3" t="inlineStr">
        <is>
          <t>Spec Doc</t>
        </is>
      </c>
      <c r="E4" s="3" t="inlineStr">
        <is>
          <t>Task</t>
        </is>
      </c>
      <c r="F4" s="3" t="inlineStr">
        <is>
          <t>Deliverable / Done when</t>
        </is>
      </c>
      <c r="G4" s="3" t="inlineStr">
        <is>
          <t>Est. Hrs</t>
        </is>
      </c>
      <c r="H4" s="3" t="inlineStr">
        <is>
          <t>Priority</t>
        </is>
      </c>
      <c r="I4" s="3" t="inlineStr">
        <is>
          <t>Depends On</t>
        </is>
      </c>
      <c r="J4" s="3" t="inlineStr">
        <is>
          <t>Owner</t>
        </is>
      </c>
      <c r="K4" s="3" t="inlineStr">
        <is>
          <t>Target Day</t>
        </is>
      </c>
      <c r="L4" s="3" t="inlineStr">
        <is>
          <t>Status</t>
        </is>
      </c>
      <c r="M4" s="3" t="inlineStr">
        <is>
          <t>Notes</t>
        </is>
      </c>
    </row>
    <row r="5">
      <c r="A5" s="4" t="inlineStr">
        <is>
          <t>T0.1</t>
        </is>
      </c>
      <c r="B5" s="5" t="inlineStr">
        <is>
          <t>0 - Setup</t>
        </is>
      </c>
      <c r="C5" s="6" t="inlineStr">
        <is>
          <t>Phase 1</t>
        </is>
      </c>
      <c r="D5" s="7" t="inlineStr">
        <is>
          <t>FR-01-foundation.md</t>
        </is>
      </c>
      <c r="E5" s="7" t="inlineStr">
        <is>
          <t>Repo skeleton: Python package, pyproject, CLI entry 'specalive run &lt;bundle_dir&gt; -o out/', DECISIONS.md, AI-LOG.md</t>
        </is>
      </c>
      <c r="F5" s="7" t="inlineStr">
        <is>
          <t>'specalive --help' runs; first DECISIONS entry committed</t>
        </is>
      </c>
      <c r="G5" s="8" t="n">
        <v>1</v>
      </c>
      <c r="H5" s="6" t="inlineStr">
        <is>
          <t>M</t>
        </is>
      </c>
      <c r="I5" s="7" t="inlineStr">
        <is>
          <t>-</t>
        </is>
      </c>
      <c r="J5" s="9" t="n"/>
      <c r="K5" s="6" t="inlineStr">
        <is>
          <t>Day 1</t>
        </is>
      </c>
      <c r="L5" s="6" t="inlineStr">
        <is>
          <t>Not started</t>
        </is>
      </c>
      <c r="M5" s="7" t="n"/>
    </row>
    <row r="6">
      <c r="A6" s="4" t="inlineStr">
        <is>
          <t>T0.2</t>
        </is>
      </c>
      <c r="B6" s="5" t="inlineStr">
        <is>
          <t>0 - Setup</t>
        </is>
      </c>
      <c r="C6" s="6" t="inlineStr">
        <is>
          <t>Phase 1</t>
        </is>
      </c>
      <c r="D6" s="7" t="inlineStr">
        <is>
          <t>FR-01-foundation.md</t>
        </is>
      </c>
      <c r="E6" s="7" t="inlineStr">
        <is>
          <t>Install OpenModelica toolchain (omc) + MSL 4.x</t>
        </is>
      </c>
      <c r="F6" s="7" t="inlineStr">
        <is>
          <t>omc compiles and simulates MSL ControlledTanks example from a script</t>
        </is>
      </c>
      <c r="G6" s="8" t="n">
        <v>1.5</v>
      </c>
      <c r="H6" s="6" t="inlineStr">
        <is>
          <t>M</t>
        </is>
      </c>
      <c r="I6" s="7" t="inlineStr">
        <is>
          <t>-</t>
        </is>
      </c>
      <c r="J6" s="9" t="n"/>
      <c r="K6" s="6" t="inlineStr">
        <is>
          <t>Day 1</t>
        </is>
      </c>
      <c r="L6" s="6" t="inlineStr">
        <is>
          <t>Not started</t>
        </is>
      </c>
      <c r="M6" s="7" t="n"/>
    </row>
    <row r="7">
      <c r="A7" s="4" t="inlineStr">
        <is>
          <t>T0.3</t>
        </is>
      </c>
      <c r="B7" s="5" t="inlineStr">
        <is>
          <t>0 - Setup</t>
        </is>
      </c>
      <c r="C7" s="6" t="inlineStr">
        <is>
          <t>Phase 1</t>
        </is>
      </c>
      <c r="D7" s="7" t="inlineStr">
        <is>
          <t>FR-01-foundation.md</t>
        </is>
      </c>
      <c r="E7" s="7" t="inlineStr">
        <is>
          <t>SysML v2 validator spike: OMG Pilot Implementation (Jupyter kernel) vs one alternative</t>
        </is>
      </c>
      <c r="F7" s="7" t="inlineStr">
        <is>
          <t>Hand-written .sysml with parts, ports, connections and a state machine parses from command line; choice logged in DECISIONS</t>
        </is>
      </c>
      <c r="G7" s="8" t="n">
        <v>2</v>
      </c>
      <c r="H7" s="6" t="inlineStr">
        <is>
          <t>M</t>
        </is>
      </c>
      <c r="I7" s="7" t="inlineStr">
        <is>
          <t>-</t>
        </is>
      </c>
      <c r="J7" s="9" t="n"/>
      <c r="K7" s="6" t="inlineStr">
        <is>
          <t>Day 1</t>
        </is>
      </c>
      <c r="L7" s="6" t="inlineStr">
        <is>
          <t>Not started</t>
        </is>
      </c>
      <c r="M7" s="7" t="n"/>
    </row>
    <row r="8">
      <c r="A8" s="4" t="inlineStr">
        <is>
          <t>T0.4</t>
        </is>
      </c>
      <c r="B8" s="5" t="inlineStr">
        <is>
          <t>0 - Setup</t>
        </is>
      </c>
      <c r="C8" s="6" t="inlineStr">
        <is>
          <t>Phase 1</t>
        </is>
      </c>
      <c r="D8" s="7" t="inlineStr">
        <is>
          <t>FR-01-foundation.md</t>
        </is>
      </c>
      <c r="E8" s="7" t="inlineStr">
        <is>
          <t>OpenAI wrapper: structured outputs from Pydantic schemas, temperature 0, disk cache of responses</t>
        </is>
      </c>
      <c r="F8" s="7" t="inlineStr">
        <is>
          <t>Same prompt returns identical cached result; token/cost log</t>
        </is>
      </c>
      <c r="G8" s="8" t="n">
        <v>1</v>
      </c>
      <c r="H8" s="6" t="inlineStr">
        <is>
          <t>M</t>
        </is>
      </c>
      <c r="I8" s="7" t="inlineStr">
        <is>
          <t>T0.1</t>
        </is>
      </c>
      <c r="J8" s="9" t="n"/>
      <c r="K8" s="6" t="inlineStr">
        <is>
          <t>Day 1</t>
        </is>
      </c>
      <c r="L8" s="6" t="inlineStr">
        <is>
          <t>Not started</t>
        </is>
      </c>
      <c r="M8" s="7" t="n"/>
    </row>
    <row r="9">
      <c r="A9" s="10" t="inlineStr">
        <is>
          <t>T1.1</t>
        </is>
      </c>
      <c r="B9" s="11" t="inlineStr">
        <is>
          <t>1 - Shared foundation</t>
        </is>
      </c>
      <c r="C9" s="6" t="inlineStr">
        <is>
          <t>Phase 2</t>
        </is>
      </c>
      <c r="D9" s="7" t="inlineStr">
        <is>
          <t>FR-02-ir-and-catalogue.md</t>
        </is>
      </c>
      <c r="E9" s="7" t="inlineStr">
        <is>
          <t>IR schema (Pydantic): Part, Port (direction, domain), Connection, Parameter (value, unit, status, authority), StateMachine (states, transitions, parallel regions), Requirement, Assumption, Question, Conflict, TraceLink, confidence</t>
        </is>
      </c>
      <c r="F9" s="7" t="inlineStr">
        <is>
          <t>Schema frozen, JSON Schema exported; the one contract between workstreams. All three sign off</t>
        </is>
      </c>
      <c r="G9" s="8" t="n">
        <v>2</v>
      </c>
      <c r="H9" s="6" t="inlineStr">
        <is>
          <t>M</t>
        </is>
      </c>
      <c r="I9" s="7" t="inlineStr">
        <is>
          <t>T0.1</t>
        </is>
      </c>
      <c r="J9" s="9" t="n"/>
      <c r="K9" s="6" t="inlineStr">
        <is>
          <t>Day 1</t>
        </is>
      </c>
      <c r="L9" s="6" t="inlineStr">
        <is>
          <t>Not started</t>
        </is>
      </c>
      <c r="M9" s="7" t="n"/>
    </row>
    <row r="10">
      <c r="A10" s="10" t="inlineStr">
        <is>
          <t>T1.2</t>
        </is>
      </c>
      <c r="B10" s="11" t="inlineStr">
        <is>
          <t>1 - Shared foundation</t>
        </is>
      </c>
      <c r="C10" s="6" t="inlineStr">
        <is>
          <t>Phase 2</t>
        </is>
      </c>
      <c r="D10" s="7" t="inlineStr">
        <is>
          <t>FR-02-ir-and-catalogue.md</t>
        </is>
      </c>
      <c r="E10" s="7" t="inlineStr">
        <is>
          <t>Golden IR for L1 Tank, hand-written from the test-case docs</t>
        </is>
      </c>
      <c r="F10" s="7" t="inlineStr">
        <is>
          <t>Validates against schema; fixture for generators and reference for coverage scoring</t>
        </is>
      </c>
      <c r="G10" s="8" t="n">
        <v>1.5</v>
      </c>
      <c r="H10" s="6" t="inlineStr">
        <is>
          <t>M</t>
        </is>
      </c>
      <c r="I10" s="7" t="inlineStr">
        <is>
          <t>T1.1</t>
        </is>
      </c>
      <c r="J10" s="9" t="n"/>
      <c r="K10" s="6" t="inlineStr">
        <is>
          <t>Day 1</t>
        </is>
      </c>
      <c r="L10" s="6" t="inlineStr">
        <is>
          <t>Not started</t>
        </is>
      </c>
      <c r="M10" s="7" t="n"/>
    </row>
    <row r="11">
      <c r="A11" s="10" t="inlineStr">
        <is>
          <t>T1.3</t>
        </is>
      </c>
      <c r="B11" s="11" t="inlineStr">
        <is>
          <t>1 - Shared foundation</t>
        </is>
      </c>
      <c r="C11" s="6" t="inlineStr">
        <is>
          <t>Phase 10</t>
        </is>
      </c>
      <c r="D11" s="7" t="inlineStr">
        <is>
          <t>FR-10-l2-feedback-extension.md</t>
        </is>
      </c>
      <c r="E11" s="7" t="inlineStr">
        <is>
          <t>Golden IR for L2 Room CO2</t>
        </is>
      </c>
      <c r="F11" s="7" t="inlineStr">
        <is>
          <t>Validates against schema</t>
        </is>
      </c>
      <c r="G11" s="8" t="n">
        <v>1.5</v>
      </c>
      <c r="H11" s="6" t="inlineStr">
        <is>
          <t>S</t>
        </is>
      </c>
      <c r="I11" s="7" t="inlineStr">
        <is>
          <t>T1.1</t>
        </is>
      </c>
      <c r="J11" s="9" t="n"/>
      <c r="K11" s="6" t="inlineStr">
        <is>
          <t>Day 2</t>
        </is>
      </c>
      <c r="L11" s="6" t="inlineStr">
        <is>
          <t>Not started</t>
        </is>
      </c>
      <c r="M11" s="7" t="n"/>
    </row>
    <row r="12">
      <c r="A12" s="10" t="inlineStr">
        <is>
          <t>T1.4</t>
        </is>
      </c>
      <c r="B12" s="11" t="inlineStr">
        <is>
          <t>1 - Shared foundation</t>
        </is>
      </c>
      <c r="C12" s="6" t="inlineStr">
        <is>
          <t>Phase 2</t>
        </is>
      </c>
      <c r="D12" s="7" t="inlineStr">
        <is>
          <t>FR-02-ir-and-catalogue.md</t>
        </is>
      </c>
      <c r="E12" s="7" t="inlineStr">
        <is>
          <t>Component catalogue: IR part kind -&gt; MSL class + SysML part def + port mapping (tank-&gt;OpenTank, valve-&gt;ValveDiscrete, room-&gt;ClosedVolume, flux tube-&gt;FluxTubes.*)</t>
        </is>
      </c>
      <c r="F12" s="7" t="inlineStr">
        <is>
          <t>YAML/JSON catalogue; LLM may only pick from it (domain-knowledge injection, prevents invented components)</t>
        </is>
      </c>
      <c r="G12" s="8" t="n">
        <v>2</v>
      </c>
      <c r="H12" s="6" t="inlineStr">
        <is>
          <t>M</t>
        </is>
      </c>
      <c r="I12" s="7" t="inlineStr">
        <is>
          <t>T1.1, T0.2</t>
        </is>
      </c>
      <c r="J12" s="9" t="n"/>
      <c r="K12" s="6" t="inlineStr">
        <is>
          <t>Day 1</t>
        </is>
      </c>
      <c r="L12" s="6" t="inlineStr">
        <is>
          <t>Not started</t>
        </is>
      </c>
      <c r="M12" s="7" t="n"/>
    </row>
    <row r="13">
      <c r="A13" s="12" t="inlineStr">
        <is>
          <t>A1</t>
        </is>
      </c>
      <c r="B13" s="13" t="inlineStr">
        <is>
          <t>A - Ingestion &amp; extraction</t>
        </is>
      </c>
      <c r="C13" s="6" t="inlineStr">
        <is>
          <t>Phase 3</t>
        </is>
      </c>
      <c r="D13" s="7" t="inlineStr">
        <is>
          <t>FR-03-evidence-ingestion.md</t>
        </is>
      </c>
      <c r="E13" s="7" t="inlineStr">
        <is>
          <t>File readers -&gt; EvidenceChunk{source, locator, text}: pdf, docx, xlsx (all sheets), eml, md/txt, .mo, .puml, json, csv (header+stats), png (vision or flagged)</t>
        </is>
      </c>
      <c r="F13" s="7" t="inlineStr">
        <is>
          <t>All 4 test bundles load without crash; unreadable files reported, never silently dropped</t>
        </is>
      </c>
      <c r="G13" s="8" t="n">
        <v>3</v>
      </c>
      <c r="H13" s="6" t="inlineStr">
        <is>
          <t>M</t>
        </is>
      </c>
      <c r="I13" s="7" t="inlineStr">
        <is>
          <t>T0.1</t>
        </is>
      </c>
      <c r="J13" s="9" t="n"/>
      <c r="K13" s="6" t="inlineStr">
        <is>
          <t>Day 1-2</t>
        </is>
      </c>
      <c r="L13" s="6" t="inlineStr">
        <is>
          <t>Not started</t>
        </is>
      </c>
      <c r="M13" s="7" t="n"/>
    </row>
    <row r="14">
      <c r="A14" s="12" t="inlineStr">
        <is>
          <t>A2</t>
        </is>
      </c>
      <c r="B14" s="13" t="inlineStr">
        <is>
          <t>A - Ingestion &amp; extraction</t>
        </is>
      </c>
      <c r="C14" s="6" t="inlineStr">
        <is>
          <t>Phase 3</t>
        </is>
      </c>
      <c r="D14" s="7" t="inlineStr">
        <is>
          <t>FR-03-evidence-ingestion.md</t>
        </is>
      </c>
      <c r="E14" s="7" t="inlineStr">
        <is>
          <t>Source classification: type, revision, date, reliability (use Source_Index sheet if present, else heuristics/LLM)</t>
        </is>
      </c>
      <c r="F14" s="7" t="inlineStr">
        <is>
          <t>Every chunk carries reliability and authority rank</t>
        </is>
      </c>
      <c r="G14" s="8" t="n">
        <v>1.5</v>
      </c>
      <c r="H14" s="6" t="inlineStr">
        <is>
          <t>M</t>
        </is>
      </c>
      <c r="I14" s="7" t="inlineStr">
        <is>
          <t>A1</t>
        </is>
      </c>
      <c r="J14" s="9" t="n"/>
      <c r="K14" s="6" t="inlineStr">
        <is>
          <t>Day 2</t>
        </is>
      </c>
      <c r="L14" s="6" t="inlineStr">
        <is>
          <t>Not started</t>
        </is>
      </c>
      <c r="M14" s="7" t="n"/>
    </row>
    <row r="15">
      <c r="A15" s="12" t="inlineStr">
        <is>
          <t>A3</t>
        </is>
      </c>
      <c r="B15" s="13" t="inlineStr">
        <is>
          <t>A - Ingestion &amp; extraction</t>
        </is>
      </c>
      <c r="C15" s="6" t="inlineStr">
        <is>
          <t>Phase 4</t>
        </is>
      </c>
      <c r="D15" s="7" t="inlineStr">
        <is>
          <t>FR-04-extraction-and-resolution.md</t>
        </is>
      </c>
      <c r="E15" s="7" t="inlineStr">
        <is>
          <t>LLM extraction: chunks -&gt; IR fragments (parts, params, connections, requirements, states) with supporting quote</t>
        </is>
      </c>
      <c r="F15" s="7" t="inlineStr">
        <is>
          <t>Fragments validate against schema; every fragment has a TraceLink</t>
        </is>
      </c>
      <c r="G15" s="8" t="n">
        <v>3</v>
      </c>
      <c r="H15" s="6" t="inlineStr">
        <is>
          <t>M</t>
        </is>
      </c>
      <c r="I15" s="7" t="inlineStr">
        <is>
          <t>A2, T1.1, T0.4</t>
        </is>
      </c>
      <c r="J15" s="9" t="n"/>
      <c r="K15" s="6" t="inlineStr">
        <is>
          <t>Day 2</t>
        </is>
      </c>
      <c r="L15" s="6" t="inlineStr">
        <is>
          <t>Not started</t>
        </is>
      </c>
      <c r="M15" s="7" t="n"/>
    </row>
    <row r="16">
      <c r="A16" s="12" t="inlineStr">
        <is>
          <t>A4</t>
        </is>
      </c>
      <c r="B16" s="13" t="inlineStr">
        <is>
          <t>A - Ingestion &amp; extraction</t>
        </is>
      </c>
      <c r="C16" s="6" t="inlineStr">
        <is>
          <t>Phase 4</t>
        </is>
      </c>
      <c r="D16" s="7" t="inlineStr">
        <is>
          <t>FR-04-extraction-and-resolution.md</t>
        </is>
      </c>
      <c r="E16" s="7" t="inlineStr">
        <is>
          <t>Merge &amp; entity resolution: alias unification (tank1 = TK-101 = T1), de-duplication</t>
        </is>
      </c>
      <c r="F16" s="7" t="inlineStr">
        <is>
          <t>One node per real component on L1</t>
        </is>
      </c>
      <c r="G16" s="8" t="n">
        <v>2</v>
      </c>
      <c r="H16" s="6" t="inlineStr">
        <is>
          <t>M</t>
        </is>
      </c>
      <c r="I16" s="7" t="inlineStr">
        <is>
          <t>A3</t>
        </is>
      </c>
      <c r="J16" s="9" t="n"/>
      <c r="K16" s="6" t="inlineStr">
        <is>
          <t>Day 2</t>
        </is>
      </c>
      <c r="L16" s="6" t="inlineStr">
        <is>
          <t>Not started</t>
        </is>
      </c>
      <c r="M16" s="7" t="n"/>
    </row>
    <row r="17">
      <c r="A17" s="12" t="inlineStr">
        <is>
          <t>A5</t>
        </is>
      </c>
      <c r="B17" s="13" t="inlineStr">
        <is>
          <t>A - Ingestion &amp; extraction</t>
        </is>
      </c>
      <c r="C17" s="6" t="inlineStr">
        <is>
          <t>Phase 4</t>
        </is>
      </c>
      <c r="D17" s="7" t="inlineStr">
        <is>
          <t>FR-04-extraction-and-resolution.md</t>
        </is>
      </c>
      <c r="E17" s="7" t="inlineStr">
        <is>
          <t>Conflict &amp; precedence resolver: approved CR &gt; design review decision &gt; baseline spec &gt; legacy model / informal notes; log Conflict with rationale; unresolvable -&gt; Question</t>
        </is>
      </c>
      <c r="F17" s="7" t="inlineStr">
        <is>
          <t>L1 yields 0.80 m and 10/12/8 s with both conflicts logged</t>
        </is>
      </c>
      <c r="G17" s="8" t="n">
        <v>2.5</v>
      </c>
      <c r="H17" s="6" t="inlineStr">
        <is>
          <t>M</t>
        </is>
      </c>
      <c r="I17" s="7" t="inlineStr">
        <is>
          <t>A4</t>
        </is>
      </c>
      <c r="J17" s="9" t="n"/>
      <c r="K17" s="6" t="inlineStr">
        <is>
          <t>Day 2</t>
        </is>
      </c>
      <c r="L17" s="6" t="inlineStr">
        <is>
          <t>Not started</t>
        </is>
      </c>
      <c r="M17" s="7" t="n"/>
    </row>
    <row r="18">
      <c r="A18" s="12" t="inlineStr">
        <is>
          <t>A6</t>
        </is>
      </c>
      <c r="B18" s="13" t="inlineStr">
        <is>
          <t>A - Ingestion &amp; extraction</t>
        </is>
      </c>
      <c r="C18" s="6" t="inlineStr">
        <is>
          <t>Phase 4</t>
        </is>
      </c>
      <c r="D18" s="7" t="inlineStr">
        <is>
          <t>FR-04-extraction-and-resolution.md</t>
        </is>
      </c>
      <c r="E18" s="7" t="inlineStr">
        <is>
          <t>Assumptions, gaps &amp; honesty gate: implicit conventions and missing units/ICs -&gt; Assumption or Question; reject elements with neither trace nor assumption</t>
        </is>
      </c>
      <c r="F18" s="7" t="inlineStr">
        <is>
          <t>Honesty check passes; missing-info list produced</t>
        </is>
      </c>
      <c r="G18" s="8" t="n">
        <v>1.5</v>
      </c>
      <c r="H18" s="6" t="inlineStr">
        <is>
          <t>M</t>
        </is>
      </c>
      <c r="I18" s="7" t="inlineStr">
        <is>
          <t>A5</t>
        </is>
      </c>
      <c r="J18" s="9" t="n"/>
      <c r="K18" s="6" t="inlineStr">
        <is>
          <t>Day 2</t>
        </is>
      </c>
      <c r="L18" s="6" t="inlineStr">
        <is>
          <t>Not started</t>
        </is>
      </c>
      <c r="M18" s="7" t="n"/>
    </row>
    <row r="19">
      <c r="A19" s="12" t="inlineStr">
        <is>
          <t>A7</t>
        </is>
      </c>
      <c r="B19" s="13" t="inlineStr">
        <is>
          <t>A - Ingestion &amp; extraction</t>
        </is>
      </c>
      <c r="C19" s="6" t="inlineStr">
        <is>
          <t>Phase 4</t>
        </is>
      </c>
      <c r="D19" s="7" t="inlineStr">
        <is>
          <t>FR-04-extraction-and-resolution.md</t>
        </is>
      </c>
      <c r="E19" s="7" t="inlineStr">
        <is>
          <t>Interactive clarifying questions in CLI (--interactive); otherwise declared defaults</t>
        </is>
      </c>
      <c r="F19" s="7" t="inlineStr">
        <is>
          <t>A question asked, answered and reflected in IR + trace</t>
        </is>
      </c>
      <c r="G19" s="8" t="n">
        <v>1</v>
      </c>
      <c r="H19" s="6" t="inlineStr">
        <is>
          <t>S</t>
        </is>
      </c>
      <c r="I19" s="7" t="inlineStr">
        <is>
          <t>A6</t>
        </is>
      </c>
      <c r="J19" s="9" t="n"/>
      <c r="K19" s="6" t="inlineStr">
        <is>
          <t>Day 3</t>
        </is>
      </c>
      <c r="L19" s="6" t="inlineStr">
        <is>
          <t>Not started</t>
        </is>
      </c>
      <c r="M19" s="7" t="n"/>
    </row>
    <row r="20">
      <c r="A20" s="12" t="inlineStr">
        <is>
          <t>A8</t>
        </is>
      </c>
      <c r="B20" s="13" t="inlineStr">
        <is>
          <t>A - Ingestion &amp; extraction</t>
        </is>
      </c>
      <c r="C20" s="6" t="inlineStr">
        <is>
          <t>Phase 4</t>
        </is>
      </c>
      <c r="D20" s="7" t="inlineStr">
        <is>
          <t>FR-04-extraction-and-resolution.md</t>
        </is>
      </c>
      <c r="E20" s="7" t="inlineStr">
        <is>
          <t>Plain-text input path: single prose paragraph -&gt; IR (judge-supplied spec)</t>
        </is>
      </c>
      <c r="F20" s="7" t="inlineStr">
        <is>
          <t>1-paragraph spec produces valid IR in &lt; 2 min</t>
        </is>
      </c>
      <c r="G20" s="8" t="n">
        <v>1</v>
      </c>
      <c r="H20" s="6" t="inlineStr">
        <is>
          <t>M</t>
        </is>
      </c>
      <c r="I20" s="7" t="inlineStr">
        <is>
          <t>A3</t>
        </is>
      </c>
      <c r="J20" s="9" t="n"/>
      <c r="K20" s="6" t="inlineStr">
        <is>
          <t>Day 2-3</t>
        </is>
      </c>
      <c r="L20" s="6" t="inlineStr">
        <is>
          <t>Not started</t>
        </is>
      </c>
      <c r="M20" s="7" t="n"/>
    </row>
    <row r="21">
      <c r="A21" s="14" t="inlineStr">
        <is>
          <t>B1</t>
        </is>
      </c>
      <c r="B21" s="15" t="inlineStr">
        <is>
          <t>B - Generators &amp; compile</t>
        </is>
      </c>
      <c r="C21" s="6" t="inlineStr">
        <is>
          <t>Phase 5</t>
        </is>
      </c>
      <c r="D21" s="7" t="inlineStr">
        <is>
          <t>FR-05-sysml-generation.md</t>
        </is>
      </c>
      <c r="E21" s="7" t="inlineStr">
        <is>
          <t>SysML v2 emitter (Jinja2, deterministic): package, part defs/usages, port defs, connections, attributes with SI units, requirement defs + satisfy, state defs + transitions, parallel regions; IR ids/traces as doc/metadata</t>
        </is>
      </c>
      <c r="F21" s="7" t="inlineStr">
        <is>
          <t>L1 golden IR -&gt; .sysml covering 3+ element types</t>
        </is>
      </c>
      <c r="G21" s="8" t="n">
        <v>3</v>
      </c>
      <c r="H21" s="6" t="inlineStr">
        <is>
          <t>M</t>
        </is>
      </c>
      <c r="I21" s="7" t="inlineStr">
        <is>
          <t>T1.2, T1.4</t>
        </is>
      </c>
      <c r="J21" s="9" t="n"/>
      <c r="K21" s="6" t="inlineStr">
        <is>
          <t>Day 2</t>
        </is>
      </c>
      <c r="L21" s="6" t="inlineStr">
        <is>
          <t>Not started</t>
        </is>
      </c>
      <c r="M21" s="7" t="n"/>
    </row>
    <row r="22">
      <c r="A22" s="14" t="inlineStr">
        <is>
          <t>B2</t>
        </is>
      </c>
      <c r="B22" s="15" t="inlineStr">
        <is>
          <t>B - Generators &amp; compile</t>
        </is>
      </c>
      <c r="C22" s="6" t="inlineStr">
        <is>
          <t>Phase 5</t>
        </is>
      </c>
      <c r="D22" s="7" t="inlineStr">
        <is>
          <t>FR-05-sysml-generation.md</t>
        </is>
      </c>
      <c r="E22" s="7" t="inlineStr">
        <is>
          <t>SysML validation hook using the validator chosen in T0.3</t>
        </is>
      </c>
      <c r="F22" s="7" t="inlineStr">
        <is>
          <t>Structured pass/fail + errors</t>
        </is>
      </c>
      <c r="G22" s="8" t="n">
        <v>1</v>
      </c>
      <c r="H22" s="6" t="inlineStr">
        <is>
          <t>M</t>
        </is>
      </c>
      <c r="I22" s="7" t="inlineStr">
        <is>
          <t>B1, T0.3</t>
        </is>
      </c>
      <c r="J22" s="9" t="n"/>
      <c r="K22" s="6" t="inlineStr">
        <is>
          <t>Day 2</t>
        </is>
      </c>
      <c r="L22" s="6" t="inlineStr">
        <is>
          <t>Not started</t>
        </is>
      </c>
      <c r="M22" s="7" t="n"/>
    </row>
    <row r="23">
      <c r="A23" s="14" t="inlineStr">
        <is>
          <t>B3</t>
        </is>
      </c>
      <c r="B23" s="15" t="inlineStr">
        <is>
          <t>B - Generators &amp; compile</t>
        </is>
      </c>
      <c r="C23" s="6" t="inlineStr">
        <is>
          <t>Phase 6</t>
        </is>
      </c>
      <c r="D23" s="7" t="inlineStr">
        <is>
          <t>FR-06-modelica-generation.md</t>
        </is>
      </c>
      <c r="E23" s="7" t="inlineStr">
        <is>
          <t>Modelica emitter: IR + catalogue -&gt; .mo using MSL components, connect() equations, parameters with units, experiment(StopTime), IR ids in comments</t>
        </is>
      </c>
      <c r="F23" s="7" t="inlineStr">
        <is>
          <t>L1 golden IR -&gt; .mo</t>
        </is>
      </c>
      <c r="G23" s="8" t="n">
        <v>4</v>
      </c>
      <c r="H23" s="6" t="inlineStr">
        <is>
          <t>M</t>
        </is>
      </c>
      <c r="I23" s="7" t="inlineStr">
        <is>
          <t>T1.2, T1.4, T0.2</t>
        </is>
      </c>
      <c r="J23" s="9" t="n"/>
      <c r="K23" s="6" t="inlineStr">
        <is>
          <t>Day 2</t>
        </is>
      </c>
      <c r="L23" s="6" t="inlineStr">
        <is>
          <t>Not started</t>
        </is>
      </c>
      <c r="M23" s="7" t="n"/>
    </row>
    <row r="24">
      <c r="A24" s="14" t="inlineStr">
        <is>
          <t>B4</t>
        </is>
      </c>
      <c r="B24" s="15" t="inlineStr">
        <is>
          <t>B - Generators &amp; compile</t>
        </is>
      </c>
      <c r="C24" s="6" t="inlineStr">
        <is>
          <t>Phase 6</t>
        </is>
      </c>
      <c r="D24" s="7" t="inlineStr">
        <is>
          <t>FR-06-modelica-generation.md</t>
        </is>
      </c>
      <c r="E24" s="7" t="inlineStr">
        <is>
          <t>Controller / state-machine generation: enumeration state + when/algorithm, timers, command priority, interlocks as assert</t>
        </is>
      </c>
      <c r="F24" s="7" t="inlineStr">
        <is>
          <t>L1 controller compiles, covers PAUSED/SHUTDOWN semantics</t>
        </is>
      </c>
      <c r="G24" s="8" t="n">
        <v>3</v>
      </c>
      <c r="H24" s="6" t="inlineStr">
        <is>
          <t>M</t>
        </is>
      </c>
      <c r="I24" s="7" t="inlineStr">
        <is>
          <t>B3</t>
        </is>
      </c>
      <c r="J24" s="9" t="n"/>
      <c r="K24" s="6" t="inlineStr">
        <is>
          <t>Day 2</t>
        </is>
      </c>
      <c r="L24" s="6" t="inlineStr">
        <is>
          <t>Not started</t>
        </is>
      </c>
      <c r="M24" s="7" t="n"/>
    </row>
    <row r="25">
      <c r="A25" s="14" t="inlineStr">
        <is>
          <t>B5</t>
        </is>
      </c>
      <c r="B25" s="15" t="inlineStr">
        <is>
          <t>B - Generators &amp; compile</t>
        </is>
      </c>
      <c r="C25" s="6" t="inlineStr">
        <is>
          <t>Phase 6</t>
        </is>
      </c>
      <c r="D25" s="7" t="inlineStr">
        <is>
          <t>FR-06-modelica-generation.md</t>
        </is>
      </c>
      <c r="E25" s="7" t="inlineStr">
        <is>
          <t>Compile &amp; repair loop: .mos (loadModel, checkModel, buildModel), parse errors, deterministic fixes first then LLM repair (max 3), repair may NOT change topology, log every attempt</t>
        </is>
      </c>
      <c r="F25" s="7" t="inlineStr">
        <is>
          <t>L1 compiles; repair log feeds AI-LOG entries</t>
        </is>
      </c>
      <c r="G25" s="8" t="n">
        <v>3</v>
      </c>
      <c r="H25" s="6" t="inlineStr">
        <is>
          <t>M</t>
        </is>
      </c>
      <c r="I25" s="7" t="inlineStr">
        <is>
          <t>B4, T0.4</t>
        </is>
      </c>
      <c r="J25" s="9" t="n"/>
      <c r="K25" s="6" t="inlineStr">
        <is>
          <t>Day 2-3</t>
        </is>
      </c>
      <c r="L25" s="6" t="inlineStr">
        <is>
          <t>Not started</t>
        </is>
      </c>
      <c r="M25" s="7" t="n"/>
    </row>
    <row r="26">
      <c r="A26" s="14" t="inlineStr">
        <is>
          <t>B6</t>
        </is>
      </c>
      <c r="B26" s="15" t="inlineStr">
        <is>
          <t>B - Generators &amp; compile</t>
        </is>
      </c>
      <c r="C26" s="6" t="inlineStr">
        <is>
          <t>Phase 8</t>
        </is>
      </c>
      <c r="D26" s="7" t="inlineStr">
        <is>
          <t>FR-08-reports-and-traceability.md</t>
        </is>
      </c>
      <c r="E26" s="7" t="inlineStr">
        <is>
          <t>Correspondence table: IR id &lt;-&gt; SysML element &lt;-&gt; Modelica component</t>
        </is>
      </c>
      <c r="F26" s="7" t="inlineStr">
        <is>
          <t>Generated table proves layer consistency (needed for Full tier)</t>
        </is>
      </c>
      <c r="G26" s="8" t="n">
        <v>1</v>
      </c>
      <c r="H26" s="6" t="inlineStr">
        <is>
          <t>M</t>
        </is>
      </c>
      <c r="I26" s="7" t="inlineStr">
        <is>
          <t>B1, B3</t>
        </is>
      </c>
      <c r="J26" s="9" t="n"/>
      <c r="K26" s="6" t="inlineStr">
        <is>
          <t>Day 3</t>
        </is>
      </c>
      <c r="L26" s="6" t="inlineStr">
        <is>
          <t>Not started</t>
        </is>
      </c>
      <c r="M26" s="7" t="n"/>
    </row>
    <row r="27">
      <c r="A27" s="14" t="inlineStr">
        <is>
          <t>B7</t>
        </is>
      </c>
      <c r="B27" s="15" t="inlineStr">
        <is>
          <t>B - Generators &amp; compile</t>
        </is>
      </c>
      <c r="C27" s="6" t="inlineStr">
        <is>
          <t>Phase 10</t>
        </is>
      </c>
      <c r="D27" s="7" t="inlineStr">
        <is>
          <t>FR-10-l2-feedback-extension.md</t>
        </is>
      </c>
      <c r="E27" s="7" t="inlineStr">
        <is>
          <t>Continuous feedback pattern for L2 (sensor -&gt; gain -&gt; P controller -&gt; source), trace substances</t>
        </is>
      </c>
      <c r="F27" s="7" t="inlineStr">
        <is>
          <t>L2 golden IR compiles and simulates</t>
        </is>
      </c>
      <c r="G27" s="8" t="n">
        <v>3</v>
      </c>
      <c r="H27" s="6" t="inlineStr">
        <is>
          <t>S</t>
        </is>
      </c>
      <c r="I27" s="7" t="inlineStr">
        <is>
          <t>T1.3, B5</t>
        </is>
      </c>
      <c r="J27" s="9" t="n"/>
      <c r="K27" s="6" t="inlineStr">
        <is>
          <t>Day 3</t>
        </is>
      </c>
      <c r="L27" s="6" t="inlineStr">
        <is>
          <t>Not started</t>
        </is>
      </c>
      <c r="M27" s="7" t="n"/>
    </row>
    <row r="28">
      <c r="A28" s="16" t="inlineStr">
        <is>
          <t>C1</t>
        </is>
      </c>
      <c r="B28" s="17" t="inlineStr">
        <is>
          <t>C - Verification &amp; CLI</t>
        </is>
      </c>
      <c r="C28" s="6" t="inlineStr">
        <is>
          <t>Phase 7</t>
        </is>
      </c>
      <c r="D28" s="7" t="inlineStr">
        <is>
          <t>FR-07-simulation-and-verification.md</t>
        </is>
      </c>
      <c r="E28" s="7" t="inlineStr">
        <is>
          <t>Simulation runner: omc simulate -&gt; results CSV/DataFrame</t>
        </is>
      </c>
      <c r="F28" s="7" t="inlineStr">
        <is>
          <t>L1 simulates for 900 s</t>
        </is>
      </c>
      <c r="G28" s="8" t="n">
        <v>1.5</v>
      </c>
      <c r="H28" s="6" t="inlineStr">
        <is>
          <t>M</t>
        </is>
      </c>
      <c r="I28" s="7" t="inlineStr">
        <is>
          <t>T0.2</t>
        </is>
      </c>
      <c r="J28" s="9" t="n"/>
      <c r="K28" s="6" t="inlineStr">
        <is>
          <t>Day 1-2</t>
        </is>
      </c>
      <c r="L28" s="6" t="inlineStr">
        <is>
          <t>Not started</t>
        </is>
      </c>
      <c r="M28" s="7" t="n"/>
    </row>
    <row r="29">
      <c r="A29" s="16" t="inlineStr">
        <is>
          <t>C2</t>
        </is>
      </c>
      <c r="B29" s="17" t="inlineStr">
        <is>
          <t>C - Verification &amp; CLI</t>
        </is>
      </c>
      <c r="C29" s="6" t="inlineStr">
        <is>
          <t>Phase 7</t>
        </is>
      </c>
      <c r="D29" s="7" t="inlineStr">
        <is>
          <t>FR-07-simulation-and-verification.md</t>
        </is>
      </c>
      <c r="E29" s="7" t="inlineStr">
        <is>
          <t>Reference comparison: map result columns to reference CSV, state timing within tolerance, acceptance criteria (e.g. TP-17 AC-01..08) as executable checks</t>
        </is>
      </c>
      <c r="F29" s="7" t="inlineStr">
        <is>
          <t>Pass/fail per acceptance criterion on L1</t>
        </is>
      </c>
      <c r="G29" s="8" t="n">
        <v>3</v>
      </c>
      <c r="H29" s="6" t="inlineStr">
        <is>
          <t>M</t>
        </is>
      </c>
      <c r="I29" s="7" t="inlineStr">
        <is>
          <t>C1</t>
        </is>
      </c>
      <c r="J29" s="9" t="n"/>
      <c r="K29" s="6" t="inlineStr">
        <is>
          <t>Day 2</t>
        </is>
      </c>
      <c r="L29" s="6" t="inlineStr">
        <is>
          <t>Not started</t>
        </is>
      </c>
      <c r="M29" s="7" t="n"/>
    </row>
    <row r="30">
      <c r="A30" s="16" t="inlineStr">
        <is>
          <t>C3</t>
        </is>
      </c>
      <c r="B30" s="17" t="inlineStr">
        <is>
          <t>C - Verification &amp; CLI</t>
        </is>
      </c>
      <c r="C30" s="6" t="inlineStr">
        <is>
          <t>Phase 7</t>
        </is>
      </c>
      <c r="D30" s="7" t="inlineStr">
        <is>
          <t>FR-07-simulation-and-verification.md</t>
        </is>
      </c>
      <c r="E30" s="7" t="inlineStr">
        <is>
          <t>Structural coverage &amp; repeatability: generated IR vs golden IR (% element coverage, 80% target); run twice, diff topology</t>
        </is>
      </c>
      <c r="F30" s="7" t="inlineStr">
        <is>
          <t>Coverage % and repeatability verdict printed</t>
        </is>
      </c>
      <c r="G30" s="8" t="n">
        <v>2</v>
      </c>
      <c r="H30" s="6" t="inlineStr">
        <is>
          <t>M</t>
        </is>
      </c>
      <c r="I30" s="7" t="inlineStr">
        <is>
          <t>T1.2</t>
        </is>
      </c>
      <c r="J30" s="9" t="n"/>
      <c r="K30" s="6" t="inlineStr">
        <is>
          <t>Day 2</t>
        </is>
      </c>
      <c r="L30" s="6" t="inlineStr">
        <is>
          <t>Not started</t>
        </is>
      </c>
      <c r="M30" s="7" t="n"/>
    </row>
    <row r="31">
      <c r="A31" s="16" t="inlineStr">
        <is>
          <t>C4</t>
        </is>
      </c>
      <c r="B31" s="17" t="inlineStr">
        <is>
          <t>C - Verification &amp; CLI</t>
        </is>
      </c>
      <c r="C31" s="6" t="inlineStr">
        <is>
          <t>Phase 8</t>
        </is>
      </c>
      <c r="D31" s="7" t="inlineStr">
        <is>
          <t>FR-08-reports-and-traceability.md</t>
        </is>
      </c>
      <c r="E31" s="7" t="inlineStr">
        <is>
          <t>Reports: summary.md (1-minute read), traceability.md, assumptions.md (assumptions, conflicts, questions), matplotlib plots</t>
        </is>
      </c>
      <c r="F31" s="7" t="inlineStr">
        <is>
          <t>Generated per run in out/&lt;case&gt;/</t>
        </is>
      </c>
      <c r="G31" s="8" t="n">
        <v>2</v>
      </c>
      <c r="H31" s="6" t="inlineStr">
        <is>
          <t>M</t>
        </is>
      </c>
      <c r="I31" s="7" t="inlineStr">
        <is>
          <t>C2, C3</t>
        </is>
      </c>
      <c r="J31" s="9" t="n"/>
      <c r="K31" s="6" t="inlineStr">
        <is>
          <t>Day 2-3</t>
        </is>
      </c>
      <c r="L31" s="6" t="inlineStr">
        <is>
          <t>Not started</t>
        </is>
      </c>
      <c r="M31" s="7" t="n"/>
    </row>
    <row r="32">
      <c r="A32" s="16" t="inlineStr">
        <is>
          <t>C5</t>
        </is>
      </c>
      <c r="B32" s="17" t="inlineStr">
        <is>
          <t>C - Verification &amp; CLI</t>
        </is>
      </c>
      <c r="C32" s="6" t="inlineStr">
        <is>
          <t>Phase 9</t>
        </is>
      </c>
      <c r="D32" s="7" t="inlineStr">
        <is>
          <t>FR-09-cli-and-end-to-end.md</t>
        </is>
      </c>
      <c r="E32" s="7" t="inlineStr">
        <is>
          <t>CLI orchestration: staged pipeline with live progress (rich), output layout, exit codes, graceful failure on bad input</t>
        </is>
      </c>
      <c r="F32" s="7" t="inlineStr">
        <is>
          <t>'specalive run Testcases/tank...' runs end to end with progress</t>
        </is>
      </c>
      <c r="G32" s="8" t="n">
        <v>2</v>
      </c>
      <c r="H32" s="6" t="inlineStr">
        <is>
          <t>M</t>
        </is>
      </c>
      <c r="I32" s="7" t="inlineStr">
        <is>
          <t>A6, B5, C4</t>
        </is>
      </c>
      <c r="J32" s="9" t="n"/>
      <c r="K32" s="6" t="inlineStr">
        <is>
          <t>Day 3</t>
        </is>
      </c>
      <c r="L32" s="6" t="inlineStr">
        <is>
          <t>Not started</t>
        </is>
      </c>
      <c r="M32" s="7" t="n"/>
    </row>
    <row r="33">
      <c r="A33" s="16" t="inlineStr">
        <is>
          <t>C6</t>
        </is>
      </c>
      <c r="B33" s="17" t="inlineStr">
        <is>
          <t>C - Verification &amp; CLI</t>
        </is>
      </c>
      <c r="C33" s="6" t="inlineStr">
        <is>
          <t>Phase 9</t>
        </is>
      </c>
      <c r="D33" s="7" t="inlineStr">
        <is>
          <t>FR-09-cli-and-end-to-end.md</t>
        </is>
      </c>
      <c r="E33" s="7" t="inlineStr">
        <is>
          <t>Adversarial / judge-spec rehearsal: 3 unseen specs (plain-text heated tank, contradictory spec, missing units)</t>
        </is>
      </c>
      <c r="F33" s="7" t="inlineStr">
        <is>
          <t>Results recorded; bugs fed back to A and B</t>
        </is>
      </c>
      <c r="G33" s="8" t="n">
        <v>2</v>
      </c>
      <c r="H33" s="6" t="inlineStr">
        <is>
          <t>M</t>
        </is>
      </c>
      <c r="I33" s="7" t="inlineStr">
        <is>
          <t>C5</t>
        </is>
      </c>
      <c r="J33" s="9" t="n"/>
      <c r="K33" s="6" t="inlineStr">
        <is>
          <t>Day 3</t>
        </is>
      </c>
      <c r="L33" s="6" t="inlineStr">
        <is>
          <t>Not started</t>
        </is>
      </c>
      <c r="M33" s="7" t="n"/>
    </row>
    <row r="34">
      <c r="A34" s="18" t="inlineStr">
        <is>
          <t>P1</t>
        </is>
      </c>
      <c r="B34" s="19" t="inlineStr">
        <is>
          <t>P - Process</t>
        </is>
      </c>
      <c r="C34" s="6" t="inlineStr">
        <is>
          <t>Not a phase</t>
        </is>
      </c>
      <c r="D34" s="7" t="inlineStr">
        <is>
          <t>FR-11-nonfunctional-and-submission.md</t>
        </is>
      </c>
      <c r="E34" s="7" t="inlineStr">
        <is>
          <t>DECISIONS.md: one commit per day with rejected alternatives</t>
        </is>
      </c>
      <c r="F34" s="7" t="inlineStr">
        <is>
          <t>Entry committed every day</t>
        </is>
      </c>
      <c r="G34" s="8" t="n">
        <v>0.75</v>
      </c>
      <c r="H34" s="6" t="inlineStr">
        <is>
          <t>M</t>
        </is>
      </c>
      <c r="I34" s="7" t="inlineStr">
        <is>
          <t>-</t>
        </is>
      </c>
      <c r="J34" s="9" t="n"/>
      <c r="K34" s="6" t="inlineStr">
        <is>
          <t>Daily</t>
        </is>
      </c>
      <c r="L34" s="6" t="inlineStr">
        <is>
          <t>Not started</t>
        </is>
      </c>
      <c r="M34" s="7" t="n"/>
    </row>
    <row r="35">
      <c r="A35" s="18" t="inlineStr">
        <is>
          <t>P2</t>
        </is>
      </c>
      <c r="B35" s="19" t="inlineStr">
        <is>
          <t>P - Process</t>
        </is>
      </c>
      <c r="C35" s="6" t="inlineStr">
        <is>
          <t>Not a phase</t>
        </is>
      </c>
      <c r="D35" s="7" t="inlineStr">
        <is>
          <t>FR-11-nonfunctional-and-submission.md</t>
        </is>
      </c>
      <c r="E35" s="7" t="inlineStr">
        <is>
          <t>AI-LOG.md: at least 2 real overrides (repair loop, extraction errors, invented MSL components)</t>
        </is>
      </c>
      <c r="F35" s="7" t="inlineStr">
        <is>
          <t>2+ explainable override cases</t>
        </is>
      </c>
      <c r="G35" s="8" t="n">
        <v>1</v>
      </c>
      <c r="H35" s="6" t="inlineStr">
        <is>
          <t>M</t>
        </is>
      </c>
      <c r="I35" s="7" t="inlineStr">
        <is>
          <t>A3, B5</t>
        </is>
      </c>
      <c r="J35" s="9" t="n"/>
      <c r="K35" s="6" t="inlineStr">
        <is>
          <t>Day 3</t>
        </is>
      </c>
      <c r="L35" s="6" t="inlineStr">
        <is>
          <t>Not started</t>
        </is>
      </c>
      <c r="M35" s="7" t="n"/>
    </row>
    <row r="36">
      <c r="A36" s="18" t="inlineStr">
        <is>
          <t>P3</t>
        </is>
      </c>
      <c r="B36" s="19" t="inlineStr">
        <is>
          <t>P - Process</t>
        </is>
      </c>
      <c r="C36" s="6" t="inlineStr">
        <is>
          <t>Not a phase</t>
        </is>
      </c>
      <c r="D36" s="7" t="inlineStr">
        <is>
          <t>FR-11-nonfunctional-and-submission.md</t>
        </is>
      </c>
      <c r="E36" s="7" t="inlineStr">
        <is>
          <t>Domain expert conversation; record what changed</t>
        </is>
      </c>
      <c r="F36" s="7" t="inlineStr">
        <is>
          <t>Documented delta (scope cut / reframing / assumption killed)</t>
        </is>
      </c>
      <c r="G36" s="8" t="n">
        <v>1</v>
      </c>
      <c r="H36" s="6" t="inlineStr">
        <is>
          <t>M</t>
        </is>
      </c>
      <c r="I36" s="7" t="inlineStr">
        <is>
          <t>-</t>
        </is>
      </c>
      <c r="J36" s="9" t="n"/>
      <c r="K36" s="6" t="inlineStr">
        <is>
          <t>Day 1</t>
        </is>
      </c>
      <c r="L36" s="6" t="inlineStr">
        <is>
          <t>Not started</t>
        </is>
      </c>
      <c r="M36" s="7" t="n"/>
    </row>
    <row r="37">
      <c r="A37" s="18" t="inlineStr">
        <is>
          <t>P4</t>
        </is>
      </c>
      <c r="B37" s="19" t="inlineStr">
        <is>
          <t>P - Process</t>
        </is>
      </c>
      <c r="C37" s="6" t="inlineStr">
        <is>
          <t>Not a phase</t>
        </is>
      </c>
      <c r="D37" s="7" t="inlineStr">
        <is>
          <t>FR-11-nonfunctional-and-submission.md</t>
        </is>
      </c>
      <c r="E37" s="7" t="inlineStr">
        <is>
          <t>Architecture note / diagram</t>
        </is>
      </c>
      <c r="F37" s="7" t="inlineStr">
        <is>
          <t>Pipeline + key decisions on one page</t>
        </is>
      </c>
      <c r="G37" s="8" t="n">
        <v>1</v>
      </c>
      <c r="H37" s="6" t="inlineStr">
        <is>
          <t>M</t>
        </is>
      </c>
      <c r="I37" s="7" t="inlineStr">
        <is>
          <t>T1.1</t>
        </is>
      </c>
      <c r="J37" s="9" t="n"/>
      <c r="K37" s="6" t="inlineStr">
        <is>
          <t>Day 3</t>
        </is>
      </c>
      <c r="L37" s="6" t="inlineStr">
        <is>
          <t>Not started</t>
        </is>
      </c>
      <c r="M37" s="7" t="n"/>
    </row>
    <row r="38">
      <c r="A38" s="18" t="inlineStr">
        <is>
          <t>P5</t>
        </is>
      </c>
      <c r="B38" s="19" t="inlineStr">
        <is>
          <t>P - Process</t>
        </is>
      </c>
      <c r="C38" s="6" t="inlineStr">
        <is>
          <t>Not a phase</t>
        </is>
      </c>
      <c r="D38" s="7" t="inlineStr">
        <is>
          <t>FR-11-nonfunctional-and-submission.md</t>
        </is>
      </c>
      <c r="E38" s="7" t="inlineStr">
        <is>
          <t>Deck of at most 8 slides + demo rehearsal on unseen spec</t>
        </is>
      </c>
      <c r="F38" s="7" t="inlineStr">
        <is>
          <t>Deck done; demo runs within slot</t>
        </is>
      </c>
      <c r="G38" s="8" t="n">
        <v>2</v>
      </c>
      <c r="H38" s="6" t="inlineStr">
        <is>
          <t>M</t>
        </is>
      </c>
      <c r="I38" s="7" t="inlineStr">
        <is>
          <t>C6</t>
        </is>
      </c>
      <c r="J38" s="9" t="n"/>
      <c r="K38" s="6" t="inlineStr">
        <is>
          <t>Day 3</t>
        </is>
      </c>
      <c r="L38" s="6" t="inlineStr">
        <is>
          <t>Not started</t>
        </is>
      </c>
      <c r="M38" s="7" t="n"/>
    </row>
    <row r="39">
      <c r="F39" s="20" t="inlineStr">
        <is>
          <t>Total estimated hours</t>
        </is>
      </c>
      <c r="G39" s="21">
        <f>SUM(G5:G38)</f>
        <v/>
      </c>
    </row>
  </sheetData>
  <autoFilter ref="A4:M38"/>
  <mergeCells count="1">
    <mergeCell ref="A2:M2"/>
  </mergeCells>
  <conditionalFormatting sqref="L5:L38">
    <cfRule type="expression" priority="1" dxfId="0">
      <formula>L5="Done"</formula>
    </cfRule>
    <cfRule type="expression" priority="2" dxfId="1">
      <formula>L5="Blocked"</formula>
    </cfRule>
    <cfRule type="expression" priority="3" dxfId="2">
      <formula>L5="In progress"</formula>
    </cfRule>
  </conditionalFormatting>
  <dataValidations count="3">
    <dataValidation sqref="J5:J38" showDropDown="0" showInputMessage="0" showErrorMessage="0" allowBlank="1" type="list">
      <formula1>"Arthesh,Parth,Yasmeen,All"</formula1>
    </dataValidation>
    <dataValidation sqref="L5:L38" showDropDown="0" showInputMessage="0" showErrorMessage="0" allowBlank="1" type="list">
      <formula1>"Not started,In progress,Blocked,Done,Dropped"</formula1>
    </dataValidation>
    <dataValidation sqref="H5:H38" showDropDown="0" showInputMessage="0" showErrorMessage="0" allowBlank="0" type="list">
      <formula1>"M,S"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1" customWidth="1" min="3" max="3"/>
    <col width="14" customWidth="1" min="4" max="4"/>
    <col width="11" customWidth="1" min="5" max="5"/>
    <col width="11" customWidth="1" min="6" max="6"/>
    <col width="38" customWidth="1" min="7" max="7"/>
  </cols>
  <sheetData>
    <row r="1">
      <c r="A1" s="1" t="inlineStr">
        <is>
          <t>Workload Summary (updates from the Tasks sheet)</t>
        </is>
      </c>
    </row>
    <row r="3">
      <c r="A3" s="22" t="inlineStr">
        <is>
          <t>Owner</t>
        </is>
      </c>
      <c r="B3" s="22" t="inlineStr">
        <is>
          <t>Tasks</t>
        </is>
      </c>
      <c r="C3" s="22" t="inlineStr">
        <is>
          <t>Total Hrs</t>
        </is>
      </c>
      <c r="D3" s="22" t="inlineStr">
        <is>
          <t>Must-have Hrs</t>
        </is>
      </c>
      <c r="E3" s="22" t="inlineStr">
        <is>
          <t>Stretch Hrs</t>
        </is>
      </c>
      <c r="F3" s="22" t="inlineStr">
        <is>
          <t>Done Tasks</t>
        </is>
      </c>
    </row>
    <row r="4">
      <c r="A4" s="23" t="inlineStr">
        <is>
          <t>Arthesh</t>
        </is>
      </c>
      <c r="B4" s="23">
        <f>COUNTIFS(Tasks!$J$5:$J$38,A4)</f>
        <v/>
      </c>
      <c r="C4" s="24">
        <f>SUMIFS(Tasks!$G$5:$G$38,Tasks!$J$5:$J$38,A4)</f>
        <v/>
      </c>
      <c r="D4" s="24">
        <f>SUMIFS(Tasks!$G$5:$G$38,Tasks!$J$5:$J$38,A4,Tasks!$H$5:$H$38,"M")</f>
        <v/>
      </c>
      <c r="E4" s="24">
        <f>SUMIFS(Tasks!$G$5:$G$38,Tasks!$J$5:$J$38,A4,Tasks!$H$5:$H$38,"S")</f>
        <v/>
      </c>
      <c r="F4" s="23">
        <f>COUNTIFS(Tasks!$J$5:$J$38,A4,Tasks!$L$5:$L$38,"Done")</f>
        <v/>
      </c>
    </row>
    <row r="5">
      <c r="A5" s="23" t="inlineStr">
        <is>
          <t>Parth</t>
        </is>
      </c>
      <c r="B5" s="23">
        <f>COUNTIFS(Tasks!$J$5:$J$38,A5)</f>
        <v/>
      </c>
      <c r="C5" s="24">
        <f>SUMIFS(Tasks!$G$5:$G$38,Tasks!$J$5:$J$38,A5)</f>
        <v/>
      </c>
      <c r="D5" s="24">
        <f>SUMIFS(Tasks!$G$5:$G$38,Tasks!$J$5:$J$38,A5,Tasks!$H$5:$H$38,"M")</f>
        <v/>
      </c>
      <c r="E5" s="24">
        <f>SUMIFS(Tasks!$G$5:$G$38,Tasks!$J$5:$J$38,A5,Tasks!$H$5:$H$38,"S")</f>
        <v/>
      </c>
      <c r="F5" s="23">
        <f>COUNTIFS(Tasks!$J$5:$J$38,A5,Tasks!$L$5:$L$38,"Done")</f>
        <v/>
      </c>
    </row>
    <row r="6">
      <c r="A6" s="23" t="inlineStr">
        <is>
          <t>Yasmeen</t>
        </is>
      </c>
      <c r="B6" s="23">
        <f>COUNTIFS(Tasks!$J$5:$J$38,A6)</f>
        <v/>
      </c>
      <c r="C6" s="24">
        <f>SUMIFS(Tasks!$G$5:$G$38,Tasks!$J$5:$J$38,A6)</f>
        <v/>
      </c>
      <c r="D6" s="24">
        <f>SUMIFS(Tasks!$G$5:$G$38,Tasks!$J$5:$J$38,A6,Tasks!$H$5:$H$38,"M")</f>
        <v/>
      </c>
      <c r="E6" s="24">
        <f>SUMIFS(Tasks!$G$5:$G$38,Tasks!$J$5:$J$38,A6,Tasks!$H$5:$H$38,"S")</f>
        <v/>
      </c>
      <c r="F6" s="23">
        <f>COUNTIFS(Tasks!$J$5:$J$38,A6,Tasks!$L$5:$L$38,"Done")</f>
        <v/>
      </c>
    </row>
    <row r="7">
      <c r="A7" s="23" t="inlineStr">
        <is>
          <t>All</t>
        </is>
      </c>
      <c r="B7" s="23">
        <f>COUNTIFS(Tasks!$J$5:$J$38,A7)</f>
        <v/>
      </c>
      <c r="C7" s="24">
        <f>SUMIFS(Tasks!$G$5:$G$38,Tasks!$J$5:$J$38,A7)</f>
        <v/>
      </c>
      <c r="D7" s="24">
        <f>SUMIFS(Tasks!$G$5:$G$38,Tasks!$J$5:$J$38,A7,Tasks!$H$5:$H$38,"M")</f>
        <v/>
      </c>
      <c r="E7" s="24">
        <f>SUMIFS(Tasks!$G$5:$G$38,Tasks!$J$5:$J$38,A7,Tasks!$H$5:$H$38,"S")</f>
        <v/>
      </c>
      <c r="F7" s="23">
        <f>COUNTIFS(Tasks!$J$5:$J$38,A7,Tasks!$L$5:$L$38,"Done")</f>
        <v/>
      </c>
    </row>
    <row r="8">
      <c r="A8" s="23" t="inlineStr">
        <is>
          <t>Unassigned</t>
        </is>
      </c>
      <c r="B8" s="23">
        <f>COUNTBLANK(Tasks!$J$5:$J$38)</f>
        <v/>
      </c>
      <c r="C8" s="24">
        <f>SUM(Tasks!$G$5:$G$38)-SUM(C4:C7)</f>
        <v/>
      </c>
      <c r="D8" s="24">
        <f>SUMIFS(Tasks!$G$5:$G$38,Tasks!$H$5:$H$38,"M")-SUM(D4:D7)</f>
        <v/>
      </c>
      <c r="E8" s="24">
        <f>SUMIFS(Tasks!$G$5:$G$38,Tasks!$H$5:$H$38,"S")-SUM(E4:E7)</f>
        <v/>
      </c>
      <c r="F8" s="23">
        <f>COUNTIFS(Tasks!$L$5:$L$38,"Done")-SUM(F4:F7)</f>
        <v/>
      </c>
    </row>
    <row r="9">
      <c r="A9" s="25" t="inlineStr">
        <is>
          <t>Total</t>
        </is>
      </c>
      <c r="B9" s="25">
        <f>SUM(B4:B8)</f>
        <v/>
      </c>
      <c r="C9" s="26">
        <f>SUM(C4:C8)</f>
        <v/>
      </c>
      <c r="D9" s="26">
        <f>SUM(D4:D8)</f>
        <v/>
      </c>
      <c r="E9" s="26">
        <f>SUM(E4:E8)</f>
        <v/>
      </c>
      <c r="F9" s="25">
        <f>SUM(F4:F8)</f>
        <v/>
      </c>
    </row>
    <row r="11">
      <c r="A11" s="22" t="inlineStr">
        <is>
          <t>Phase</t>
        </is>
      </c>
      <c r="B11" s="22" t="inlineStr">
        <is>
          <t>Tasks</t>
        </is>
      </c>
      <c r="C11" s="22" t="inlineStr">
        <is>
          <t>Total Hrs</t>
        </is>
      </c>
      <c r="D11" s="22" t="inlineStr">
        <is>
          <t>Must-have Hrs</t>
        </is>
      </c>
      <c r="E11" s="22" t="inlineStr">
        <is>
          <t>Stretch Hrs</t>
        </is>
      </c>
      <c r="F11" s="22" t="inlineStr">
        <is>
          <t>Done Tasks</t>
        </is>
      </c>
      <c r="G11" s="22" t="inlineStr">
        <is>
          <t>Spec Doc</t>
        </is>
      </c>
    </row>
    <row r="12">
      <c r="A12" s="23" t="inlineStr">
        <is>
          <t>Phase 1</t>
        </is>
      </c>
      <c r="B12" s="23">
        <f>COUNTIFS(Tasks!$C$5:$C$38,A12)</f>
        <v/>
      </c>
      <c r="C12" s="24">
        <f>SUMIFS(Tasks!$G$5:$G$38,Tasks!$C$5:$C$38,A12)</f>
        <v/>
      </c>
      <c r="D12" s="24">
        <f>SUMIFS(Tasks!$G$5:$G$38,Tasks!$C$5:$C$38,A12,Tasks!$H$5:$H$38,"M")</f>
        <v/>
      </c>
      <c r="E12" s="24">
        <f>SUMIFS(Tasks!$G$5:$G$38,Tasks!$C$5:$C$38,A12,Tasks!$H$5:$H$38,"S")</f>
        <v/>
      </c>
      <c r="F12" s="23">
        <f>COUNTIFS(Tasks!$C$5:$C$38,A12,Tasks!$L$5:$L$38,"Done")</f>
        <v/>
      </c>
      <c r="G12" s="23" t="inlineStr">
        <is>
          <t>FR-01-foundation.md</t>
        </is>
      </c>
    </row>
    <row r="13">
      <c r="A13" s="23" t="inlineStr">
        <is>
          <t>Phase 2</t>
        </is>
      </c>
      <c r="B13" s="23">
        <f>COUNTIFS(Tasks!$C$5:$C$38,A13)</f>
        <v/>
      </c>
      <c r="C13" s="24">
        <f>SUMIFS(Tasks!$G$5:$G$38,Tasks!$C$5:$C$38,A13)</f>
        <v/>
      </c>
      <c r="D13" s="24">
        <f>SUMIFS(Tasks!$G$5:$G$38,Tasks!$C$5:$C$38,A13,Tasks!$H$5:$H$38,"M")</f>
        <v/>
      </c>
      <c r="E13" s="24">
        <f>SUMIFS(Tasks!$G$5:$G$38,Tasks!$C$5:$C$38,A13,Tasks!$H$5:$H$38,"S")</f>
        <v/>
      </c>
      <c r="F13" s="23">
        <f>COUNTIFS(Tasks!$C$5:$C$38,A13,Tasks!$L$5:$L$38,"Done")</f>
        <v/>
      </c>
      <c r="G13" s="23" t="inlineStr">
        <is>
          <t>FR-02-ir-and-catalogue.md</t>
        </is>
      </c>
    </row>
    <row r="14">
      <c r="A14" s="23" t="inlineStr">
        <is>
          <t>Phase 3</t>
        </is>
      </c>
      <c r="B14" s="23">
        <f>COUNTIFS(Tasks!$C$5:$C$38,A14)</f>
        <v/>
      </c>
      <c r="C14" s="24">
        <f>SUMIFS(Tasks!$G$5:$G$38,Tasks!$C$5:$C$38,A14)</f>
        <v/>
      </c>
      <c r="D14" s="24">
        <f>SUMIFS(Tasks!$G$5:$G$38,Tasks!$C$5:$C$38,A14,Tasks!$H$5:$H$38,"M")</f>
        <v/>
      </c>
      <c r="E14" s="24">
        <f>SUMIFS(Tasks!$G$5:$G$38,Tasks!$C$5:$C$38,A14,Tasks!$H$5:$H$38,"S")</f>
        <v/>
      </c>
      <c r="F14" s="23">
        <f>COUNTIFS(Tasks!$C$5:$C$38,A14,Tasks!$L$5:$L$38,"Done")</f>
        <v/>
      </c>
      <c r="G14" s="23" t="inlineStr">
        <is>
          <t>FR-03-evidence-ingestion.md</t>
        </is>
      </c>
    </row>
    <row r="15">
      <c r="A15" s="23" t="inlineStr">
        <is>
          <t>Phase 4</t>
        </is>
      </c>
      <c r="B15" s="23">
        <f>COUNTIFS(Tasks!$C$5:$C$38,A15)</f>
        <v/>
      </c>
      <c r="C15" s="24">
        <f>SUMIFS(Tasks!$G$5:$G$38,Tasks!$C$5:$C$38,A15)</f>
        <v/>
      </c>
      <c r="D15" s="24">
        <f>SUMIFS(Tasks!$G$5:$G$38,Tasks!$C$5:$C$38,A15,Tasks!$H$5:$H$38,"M")</f>
        <v/>
      </c>
      <c r="E15" s="24">
        <f>SUMIFS(Tasks!$G$5:$G$38,Tasks!$C$5:$C$38,A15,Tasks!$H$5:$H$38,"S")</f>
        <v/>
      </c>
      <c r="F15" s="23">
        <f>COUNTIFS(Tasks!$C$5:$C$38,A15,Tasks!$L$5:$L$38,"Done")</f>
        <v/>
      </c>
      <c r="G15" s="23" t="inlineStr">
        <is>
          <t>FR-04-extraction-and-resolution.md</t>
        </is>
      </c>
    </row>
    <row r="16">
      <c r="A16" s="23" t="inlineStr">
        <is>
          <t>Phase 5</t>
        </is>
      </c>
      <c r="B16" s="23">
        <f>COUNTIFS(Tasks!$C$5:$C$38,A16)</f>
        <v/>
      </c>
      <c r="C16" s="24">
        <f>SUMIFS(Tasks!$G$5:$G$38,Tasks!$C$5:$C$38,A16)</f>
        <v/>
      </c>
      <c r="D16" s="24">
        <f>SUMIFS(Tasks!$G$5:$G$38,Tasks!$C$5:$C$38,A16,Tasks!$H$5:$H$38,"M")</f>
        <v/>
      </c>
      <c r="E16" s="24">
        <f>SUMIFS(Tasks!$G$5:$G$38,Tasks!$C$5:$C$38,A16,Tasks!$H$5:$H$38,"S")</f>
        <v/>
      </c>
      <c r="F16" s="23">
        <f>COUNTIFS(Tasks!$C$5:$C$38,A16,Tasks!$L$5:$L$38,"Done")</f>
        <v/>
      </c>
      <c r="G16" s="23" t="inlineStr">
        <is>
          <t>FR-05-sysml-generation.md</t>
        </is>
      </c>
    </row>
    <row r="17">
      <c r="A17" s="23" t="inlineStr">
        <is>
          <t>Phase 6</t>
        </is>
      </c>
      <c r="B17" s="23">
        <f>COUNTIFS(Tasks!$C$5:$C$38,A17)</f>
        <v/>
      </c>
      <c r="C17" s="24">
        <f>SUMIFS(Tasks!$G$5:$G$38,Tasks!$C$5:$C$38,A17)</f>
        <v/>
      </c>
      <c r="D17" s="24">
        <f>SUMIFS(Tasks!$G$5:$G$38,Tasks!$C$5:$C$38,A17,Tasks!$H$5:$H$38,"M")</f>
        <v/>
      </c>
      <c r="E17" s="24">
        <f>SUMIFS(Tasks!$G$5:$G$38,Tasks!$C$5:$C$38,A17,Tasks!$H$5:$H$38,"S")</f>
        <v/>
      </c>
      <c r="F17" s="23">
        <f>COUNTIFS(Tasks!$C$5:$C$38,A17,Tasks!$L$5:$L$38,"Done")</f>
        <v/>
      </c>
      <c r="G17" s="23" t="inlineStr">
        <is>
          <t>FR-06-modelica-generation.md</t>
        </is>
      </c>
    </row>
    <row r="18">
      <c r="A18" s="23" t="inlineStr">
        <is>
          <t>Phase 7</t>
        </is>
      </c>
      <c r="B18" s="23">
        <f>COUNTIFS(Tasks!$C$5:$C$38,A18)</f>
        <v/>
      </c>
      <c r="C18" s="24">
        <f>SUMIFS(Tasks!$G$5:$G$38,Tasks!$C$5:$C$38,A18)</f>
        <v/>
      </c>
      <c r="D18" s="24">
        <f>SUMIFS(Tasks!$G$5:$G$38,Tasks!$C$5:$C$38,A18,Tasks!$H$5:$H$38,"M")</f>
        <v/>
      </c>
      <c r="E18" s="24">
        <f>SUMIFS(Tasks!$G$5:$G$38,Tasks!$C$5:$C$38,A18,Tasks!$H$5:$H$38,"S")</f>
        <v/>
      </c>
      <c r="F18" s="23">
        <f>COUNTIFS(Tasks!$C$5:$C$38,A18,Tasks!$L$5:$L$38,"Done")</f>
        <v/>
      </c>
      <c r="G18" s="23" t="inlineStr">
        <is>
          <t>FR-07-simulation-and-verification.md</t>
        </is>
      </c>
    </row>
    <row r="19">
      <c r="A19" s="23" t="inlineStr">
        <is>
          <t>Phase 8</t>
        </is>
      </c>
      <c r="B19" s="23">
        <f>COUNTIFS(Tasks!$C$5:$C$38,A19)</f>
        <v/>
      </c>
      <c r="C19" s="24">
        <f>SUMIFS(Tasks!$G$5:$G$38,Tasks!$C$5:$C$38,A19)</f>
        <v/>
      </c>
      <c r="D19" s="24">
        <f>SUMIFS(Tasks!$G$5:$G$38,Tasks!$C$5:$C$38,A19,Tasks!$H$5:$H$38,"M")</f>
        <v/>
      </c>
      <c r="E19" s="24">
        <f>SUMIFS(Tasks!$G$5:$G$38,Tasks!$C$5:$C$38,A19,Tasks!$H$5:$H$38,"S")</f>
        <v/>
      </c>
      <c r="F19" s="23">
        <f>COUNTIFS(Tasks!$C$5:$C$38,A19,Tasks!$L$5:$L$38,"Done")</f>
        <v/>
      </c>
      <c r="G19" s="23" t="inlineStr">
        <is>
          <t>FR-08-reports-and-traceability.md</t>
        </is>
      </c>
    </row>
    <row r="20">
      <c r="A20" s="23" t="inlineStr">
        <is>
          <t>Phase 9</t>
        </is>
      </c>
      <c r="B20" s="23">
        <f>COUNTIFS(Tasks!$C$5:$C$38,A20)</f>
        <v/>
      </c>
      <c r="C20" s="24">
        <f>SUMIFS(Tasks!$G$5:$G$38,Tasks!$C$5:$C$38,A20)</f>
        <v/>
      </c>
      <c r="D20" s="24">
        <f>SUMIFS(Tasks!$G$5:$G$38,Tasks!$C$5:$C$38,A20,Tasks!$H$5:$H$38,"M")</f>
        <v/>
      </c>
      <c r="E20" s="24">
        <f>SUMIFS(Tasks!$G$5:$G$38,Tasks!$C$5:$C$38,A20,Tasks!$H$5:$H$38,"S")</f>
        <v/>
      </c>
      <c r="F20" s="23">
        <f>COUNTIFS(Tasks!$C$5:$C$38,A20,Tasks!$L$5:$L$38,"Done")</f>
        <v/>
      </c>
      <c r="G20" s="23" t="inlineStr">
        <is>
          <t>FR-09-cli-and-end-to-end.md</t>
        </is>
      </c>
    </row>
    <row r="21">
      <c r="A21" s="23" t="inlineStr">
        <is>
          <t>Phase 10</t>
        </is>
      </c>
      <c r="B21" s="23">
        <f>COUNTIFS(Tasks!$C$5:$C$38,A21)</f>
        <v/>
      </c>
      <c r="C21" s="24">
        <f>SUMIFS(Tasks!$G$5:$G$38,Tasks!$C$5:$C$38,A21)</f>
        <v/>
      </c>
      <c r="D21" s="24">
        <f>SUMIFS(Tasks!$G$5:$G$38,Tasks!$C$5:$C$38,A21,Tasks!$H$5:$H$38,"M")</f>
        <v/>
      </c>
      <c r="E21" s="24">
        <f>SUMIFS(Tasks!$G$5:$G$38,Tasks!$C$5:$C$38,A21,Tasks!$H$5:$H$38,"S")</f>
        <v/>
      </c>
      <c r="F21" s="23">
        <f>COUNTIFS(Tasks!$C$5:$C$38,A21,Tasks!$L$5:$L$38,"Done")</f>
        <v/>
      </c>
      <c r="G21" s="23" t="inlineStr">
        <is>
          <t>FR-10-l2-feedback-extension.md</t>
        </is>
      </c>
    </row>
    <row r="22">
      <c r="A22" s="23" t="inlineStr">
        <is>
          <t>Not a phase</t>
        </is>
      </c>
      <c r="B22" s="23">
        <f>COUNTIFS(Tasks!$C$5:$C$38,A22)</f>
        <v/>
      </c>
      <c r="C22" s="24">
        <f>SUMIFS(Tasks!$G$5:$G$38,Tasks!$C$5:$C$38,A22)</f>
        <v/>
      </c>
      <c r="D22" s="24">
        <f>SUMIFS(Tasks!$G$5:$G$38,Tasks!$C$5:$C$38,A22,Tasks!$H$5:$H$38,"M")</f>
        <v/>
      </c>
      <c r="E22" s="24">
        <f>SUMIFS(Tasks!$G$5:$G$38,Tasks!$C$5:$C$38,A22,Tasks!$H$5:$H$38,"S")</f>
        <v/>
      </c>
      <c r="F22" s="23">
        <f>COUNTIFS(Tasks!$C$5:$C$38,A22,Tasks!$L$5:$L$38,"Done")</f>
        <v/>
      </c>
      <c r="G22" s="23" t="inlineStr">
        <is>
          <t>FR-11-nonfunctional-and-submission.md</t>
        </is>
      </c>
    </row>
    <row r="24">
      <c r="A24" s="22" t="inlineStr">
        <is>
          <t>Workstream</t>
        </is>
      </c>
      <c r="B24" s="22" t="inlineStr">
        <is>
          <t>Tasks</t>
        </is>
      </c>
      <c r="C24" s="22" t="inlineStr">
        <is>
          <t>Total Hrs</t>
        </is>
      </c>
      <c r="D24" s="22" t="inlineStr">
        <is>
          <t>Must-have Hrs</t>
        </is>
      </c>
      <c r="E24" s="22" t="inlineStr">
        <is>
          <t>Stretch Hrs</t>
        </is>
      </c>
      <c r="F24" s="22" t="inlineStr">
        <is>
          <t>Done Tasks</t>
        </is>
      </c>
    </row>
    <row r="25">
      <c r="A25" s="23" t="inlineStr">
        <is>
          <t>0 - Setup</t>
        </is>
      </c>
      <c r="B25" s="23">
        <f>COUNTIFS(Tasks!$B$5:$B$38,A25)</f>
        <v/>
      </c>
      <c r="C25" s="24">
        <f>SUMIFS(Tasks!$G$5:$G$38,Tasks!$B$5:$B$38,A25)</f>
        <v/>
      </c>
      <c r="D25" s="24">
        <f>SUMIFS(Tasks!$G$5:$G$38,Tasks!$B$5:$B$38,A25,Tasks!$H$5:$H$38,"M")</f>
        <v/>
      </c>
      <c r="E25" s="24">
        <f>SUMIFS(Tasks!$G$5:$G$38,Tasks!$B$5:$B$38,A25,Tasks!$H$5:$H$38,"S")</f>
        <v/>
      </c>
      <c r="F25" s="23">
        <f>COUNTIFS(Tasks!$B$5:$B$38,A25,Tasks!$L$5:$L$38,"Done")</f>
        <v/>
      </c>
    </row>
    <row r="26">
      <c r="A26" s="23" t="inlineStr">
        <is>
          <t>1 - Shared foundation</t>
        </is>
      </c>
      <c r="B26" s="23">
        <f>COUNTIFS(Tasks!$B$5:$B$38,A26)</f>
        <v/>
      </c>
      <c r="C26" s="24">
        <f>SUMIFS(Tasks!$G$5:$G$38,Tasks!$B$5:$B$38,A26)</f>
        <v/>
      </c>
      <c r="D26" s="24">
        <f>SUMIFS(Tasks!$G$5:$G$38,Tasks!$B$5:$B$38,A26,Tasks!$H$5:$H$38,"M")</f>
        <v/>
      </c>
      <c r="E26" s="24">
        <f>SUMIFS(Tasks!$G$5:$G$38,Tasks!$B$5:$B$38,A26,Tasks!$H$5:$H$38,"S")</f>
        <v/>
      </c>
      <c r="F26" s="23">
        <f>COUNTIFS(Tasks!$B$5:$B$38,A26,Tasks!$L$5:$L$38,"Done")</f>
        <v/>
      </c>
    </row>
    <row r="27">
      <c r="A27" s="23" t="inlineStr">
        <is>
          <t>A - Ingestion &amp; extraction</t>
        </is>
      </c>
      <c r="B27" s="23">
        <f>COUNTIFS(Tasks!$B$5:$B$38,A27)</f>
        <v/>
      </c>
      <c r="C27" s="24">
        <f>SUMIFS(Tasks!$G$5:$G$38,Tasks!$B$5:$B$38,A27)</f>
        <v/>
      </c>
      <c r="D27" s="24">
        <f>SUMIFS(Tasks!$G$5:$G$38,Tasks!$B$5:$B$38,A27,Tasks!$H$5:$H$38,"M")</f>
        <v/>
      </c>
      <c r="E27" s="24">
        <f>SUMIFS(Tasks!$G$5:$G$38,Tasks!$B$5:$B$38,A27,Tasks!$H$5:$H$38,"S")</f>
        <v/>
      </c>
      <c r="F27" s="23">
        <f>COUNTIFS(Tasks!$B$5:$B$38,A27,Tasks!$L$5:$L$38,"Done")</f>
        <v/>
      </c>
    </row>
    <row r="28">
      <c r="A28" s="23" t="inlineStr">
        <is>
          <t>B - Generators &amp; compile</t>
        </is>
      </c>
      <c r="B28" s="23">
        <f>COUNTIFS(Tasks!$B$5:$B$38,A28)</f>
        <v/>
      </c>
      <c r="C28" s="24">
        <f>SUMIFS(Tasks!$G$5:$G$38,Tasks!$B$5:$B$38,A28)</f>
        <v/>
      </c>
      <c r="D28" s="24">
        <f>SUMIFS(Tasks!$G$5:$G$38,Tasks!$B$5:$B$38,A28,Tasks!$H$5:$H$38,"M")</f>
        <v/>
      </c>
      <c r="E28" s="24">
        <f>SUMIFS(Tasks!$G$5:$G$38,Tasks!$B$5:$B$38,A28,Tasks!$H$5:$H$38,"S")</f>
        <v/>
      </c>
      <c r="F28" s="23">
        <f>COUNTIFS(Tasks!$B$5:$B$38,A28,Tasks!$L$5:$L$38,"Done")</f>
        <v/>
      </c>
    </row>
    <row r="29">
      <c r="A29" s="23" t="inlineStr">
        <is>
          <t>C - Verification &amp; CLI</t>
        </is>
      </c>
      <c r="B29" s="23">
        <f>COUNTIFS(Tasks!$B$5:$B$38,A29)</f>
        <v/>
      </c>
      <c r="C29" s="24">
        <f>SUMIFS(Tasks!$G$5:$G$38,Tasks!$B$5:$B$38,A29)</f>
        <v/>
      </c>
      <c r="D29" s="24">
        <f>SUMIFS(Tasks!$G$5:$G$38,Tasks!$B$5:$B$38,A29,Tasks!$H$5:$H$38,"M")</f>
        <v/>
      </c>
      <c r="E29" s="24">
        <f>SUMIFS(Tasks!$G$5:$G$38,Tasks!$B$5:$B$38,A29,Tasks!$H$5:$H$38,"S")</f>
        <v/>
      </c>
      <c r="F29" s="23">
        <f>COUNTIFS(Tasks!$B$5:$B$38,A29,Tasks!$L$5:$L$38,"Done")</f>
        <v/>
      </c>
    </row>
    <row r="30">
      <c r="A30" s="23" t="inlineStr">
        <is>
          <t>P - Process</t>
        </is>
      </c>
      <c r="B30" s="23">
        <f>COUNTIFS(Tasks!$B$5:$B$38,A30)</f>
        <v/>
      </c>
      <c r="C30" s="24">
        <f>SUMIFS(Tasks!$G$5:$G$38,Tasks!$B$5:$B$38,A30)</f>
        <v/>
      </c>
      <c r="D30" s="24">
        <f>SUMIFS(Tasks!$G$5:$G$38,Tasks!$B$5:$B$38,A30,Tasks!$H$5:$H$38,"M")</f>
        <v/>
      </c>
      <c r="E30" s="24">
        <f>SUMIFS(Tasks!$G$5:$G$38,Tasks!$B$5:$B$38,A30,Tasks!$H$5:$H$38,"S")</f>
        <v/>
      </c>
      <c r="F30" s="23">
        <f>COUNTIFS(Tasks!$B$5:$B$38,A30,Tasks!$L$5:$L$38,"Done")</f>
        <v/>
      </c>
    </row>
    <row r="32">
      <c r="A32" s="27" t="inlineStr">
        <is>
          <t>Note: 'All' = shared tasks (e.g. T1.1 IR schema sign-off). 'Not a phase' = cross-cutting process work governed by FR-11. Hours come from the Est. Hrs column on the Tasks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11" customWidth="1" min="4" max="4"/>
    <col width="16" customWidth="1" min="5" max="5"/>
    <col width="11" customWidth="1" min="6" max="6"/>
    <col width="34" customWidth="1" min="7" max="7"/>
  </cols>
  <sheetData>
    <row r="1">
      <c r="A1" s="1" t="inlineStr">
        <is>
          <t>Phase -&gt; Specification -&gt; Tasks (one phase = one spec = one pull request)</t>
        </is>
      </c>
    </row>
    <row r="3">
      <c r="A3" s="22" t="inlineStr">
        <is>
          <t>Phase</t>
        </is>
      </c>
      <c r="B3" s="22" t="inlineStr">
        <is>
          <t>Name</t>
        </is>
      </c>
      <c r="C3" s="22" t="inlineStr">
        <is>
          <t>Spec Doc</t>
        </is>
      </c>
      <c r="D3" s="22" t="inlineStr">
        <is>
          <t>Track</t>
        </is>
      </c>
      <c r="E3" s="22" t="inlineStr">
        <is>
          <t>Starts after</t>
        </is>
      </c>
      <c r="F3" s="22" t="inlineStr">
        <is>
          <t>Target Day</t>
        </is>
      </c>
      <c r="G3" s="22" t="inlineStr">
        <is>
          <t>Task IDs</t>
        </is>
      </c>
    </row>
    <row r="4">
      <c r="A4" s="28" t="inlineStr">
        <is>
          <t>Phase 1</t>
        </is>
      </c>
      <c r="B4" s="28" t="inlineStr">
        <is>
          <t>Foundation</t>
        </is>
      </c>
      <c r="C4" s="28" t="inlineStr">
        <is>
          <t>FR-01-foundation.md</t>
        </is>
      </c>
      <c r="D4" s="28" t="inlineStr">
        <is>
          <t>Setup</t>
        </is>
      </c>
      <c r="E4" s="28" t="inlineStr">
        <is>
          <t>-</t>
        </is>
      </c>
      <c r="F4" s="28" t="inlineStr">
        <is>
          <t>Day 1</t>
        </is>
      </c>
      <c r="G4" s="28" t="inlineStr">
        <is>
          <t>T0.1, T0.2, T0.3, T0.4</t>
        </is>
      </c>
    </row>
    <row r="5">
      <c r="A5" s="28" t="inlineStr">
        <is>
          <t>Phase 2</t>
        </is>
      </c>
      <c r="B5" s="28" t="inlineStr">
        <is>
          <t>IR schema, catalogue, golden IR</t>
        </is>
      </c>
      <c r="C5" s="28" t="inlineStr">
        <is>
          <t>FR-02-ir-and-catalogue.md</t>
        </is>
      </c>
      <c r="D5" s="28" t="inlineStr">
        <is>
          <t>Shared</t>
        </is>
      </c>
      <c r="E5" s="28" t="inlineStr">
        <is>
          <t>Phase 1</t>
        </is>
      </c>
      <c r="F5" s="28" t="inlineStr">
        <is>
          <t>Day 1</t>
        </is>
      </c>
      <c r="G5" s="28" t="inlineStr">
        <is>
          <t>T1.1, T1.2, T1.4</t>
        </is>
      </c>
    </row>
    <row r="6">
      <c r="A6" s="28" t="inlineStr">
        <is>
          <t>Phase 3</t>
        </is>
      </c>
      <c r="B6" s="28" t="inlineStr">
        <is>
          <t>Evidence ingestion</t>
        </is>
      </c>
      <c r="C6" s="28" t="inlineStr">
        <is>
          <t>FR-03-evidence-ingestion.md</t>
        </is>
      </c>
      <c r="D6" s="28" t="inlineStr">
        <is>
          <t>A</t>
        </is>
      </c>
      <c r="E6" s="28" t="inlineStr">
        <is>
          <t>Phase 2</t>
        </is>
      </c>
      <c r="F6" s="28" t="inlineStr">
        <is>
          <t>Day 1-2</t>
        </is>
      </c>
      <c r="G6" s="28" t="inlineStr">
        <is>
          <t>A1, A2</t>
        </is>
      </c>
    </row>
    <row r="7">
      <c r="A7" s="28" t="inlineStr">
        <is>
          <t>Phase 4</t>
        </is>
      </c>
      <c r="B7" s="28" t="inlineStr">
        <is>
          <t>Extraction and resolution</t>
        </is>
      </c>
      <c r="C7" s="28" t="inlineStr">
        <is>
          <t>FR-04-extraction-and-resolution.md</t>
        </is>
      </c>
      <c r="D7" s="28" t="inlineStr">
        <is>
          <t>A</t>
        </is>
      </c>
      <c r="E7" s="28" t="inlineStr">
        <is>
          <t>Phase 3</t>
        </is>
      </c>
      <c r="F7" s="28" t="inlineStr">
        <is>
          <t>Day 2</t>
        </is>
      </c>
      <c r="G7" s="28" t="inlineStr">
        <is>
          <t>A3, A4, A5, A6, A7, A8</t>
        </is>
      </c>
    </row>
    <row r="8">
      <c r="A8" s="28" t="inlineStr">
        <is>
          <t>Phase 5</t>
        </is>
      </c>
      <c r="B8" s="28" t="inlineStr">
        <is>
          <t>SysML v2 generation</t>
        </is>
      </c>
      <c r="C8" s="28" t="inlineStr">
        <is>
          <t>FR-05-sysml-generation.md</t>
        </is>
      </c>
      <c r="D8" s="28" t="inlineStr">
        <is>
          <t>B</t>
        </is>
      </c>
      <c r="E8" s="28" t="inlineStr">
        <is>
          <t>Phase 2</t>
        </is>
      </c>
      <c r="F8" s="28" t="inlineStr">
        <is>
          <t>Day 2</t>
        </is>
      </c>
      <c r="G8" s="28" t="inlineStr">
        <is>
          <t>B1, B2</t>
        </is>
      </c>
    </row>
    <row r="9">
      <c r="A9" s="28" t="inlineStr">
        <is>
          <t>Phase 6</t>
        </is>
      </c>
      <c r="B9" s="28" t="inlineStr">
        <is>
          <t>Modelica generation and compile loop</t>
        </is>
      </c>
      <c r="C9" s="28" t="inlineStr">
        <is>
          <t>FR-06-modelica-generation.md</t>
        </is>
      </c>
      <c r="D9" s="28" t="inlineStr">
        <is>
          <t>B</t>
        </is>
      </c>
      <c r="E9" s="28" t="inlineStr">
        <is>
          <t>Phase 2</t>
        </is>
      </c>
      <c r="F9" s="28" t="inlineStr">
        <is>
          <t>Day 2-3</t>
        </is>
      </c>
      <c r="G9" s="28" t="inlineStr">
        <is>
          <t>B3, B4, B5</t>
        </is>
      </c>
    </row>
    <row r="10">
      <c r="A10" s="28" t="inlineStr">
        <is>
          <t>Phase 7</t>
        </is>
      </c>
      <c r="B10" s="28" t="inlineStr">
        <is>
          <t>Simulation and verification</t>
        </is>
      </c>
      <c r="C10" s="28" t="inlineStr">
        <is>
          <t>FR-07-simulation-and-verification.md</t>
        </is>
      </c>
      <c r="D10" s="28" t="inlineStr">
        <is>
          <t>C</t>
        </is>
      </c>
      <c r="E10" s="28" t="inlineStr">
        <is>
          <t>Phase 2</t>
        </is>
      </c>
      <c r="F10" s="28" t="inlineStr">
        <is>
          <t>Day 1-2</t>
        </is>
      </c>
      <c r="G10" s="28" t="inlineStr">
        <is>
          <t>C1, C2, C3</t>
        </is>
      </c>
    </row>
    <row r="11">
      <c r="A11" s="28" t="inlineStr">
        <is>
          <t>Phase 8</t>
        </is>
      </c>
      <c r="B11" s="28" t="inlineStr">
        <is>
          <t>Reports and traceability</t>
        </is>
      </c>
      <c r="C11" s="28" t="inlineStr">
        <is>
          <t>FR-08-reports-and-traceability.md</t>
        </is>
      </c>
      <c r="D11" s="28" t="inlineStr">
        <is>
          <t>C (+B6)</t>
        </is>
      </c>
      <c r="E11" s="28" t="inlineStr">
        <is>
          <t>Phases 5, 6, 7</t>
        </is>
      </c>
      <c r="F11" s="28" t="inlineStr">
        <is>
          <t>Day 2-3</t>
        </is>
      </c>
      <c r="G11" s="28" t="inlineStr">
        <is>
          <t>B6, C4</t>
        </is>
      </c>
    </row>
    <row r="12">
      <c r="A12" s="28" t="inlineStr">
        <is>
          <t>Phase 9</t>
        </is>
      </c>
      <c r="B12" s="28" t="inlineStr">
        <is>
          <t>CLI and end to end</t>
        </is>
      </c>
      <c r="C12" s="28" t="inlineStr">
        <is>
          <t>FR-09-cli-and-end-to-end.md</t>
        </is>
      </c>
      <c r="D12" s="28" t="inlineStr">
        <is>
          <t>C</t>
        </is>
      </c>
      <c r="E12" s="28" t="inlineStr">
        <is>
          <t>Phases 4, 6, 8</t>
        </is>
      </c>
      <c r="F12" s="28" t="inlineStr">
        <is>
          <t>Day 3</t>
        </is>
      </c>
      <c r="G12" s="28" t="inlineStr">
        <is>
          <t>C5, C6</t>
        </is>
      </c>
    </row>
    <row r="13">
      <c r="A13" s="28" t="inlineStr">
        <is>
          <t>Phase 10</t>
        </is>
      </c>
      <c r="B13" s="28" t="inlineStr">
        <is>
          <t>L2 feedback extension (stretch)</t>
        </is>
      </c>
      <c r="C13" s="28" t="inlineStr">
        <is>
          <t>FR-10-l2-feedback-extension.md</t>
        </is>
      </c>
      <c r="D13" s="28" t="inlineStr">
        <is>
          <t>Shared / B</t>
        </is>
      </c>
      <c r="E13" s="28" t="inlineStr">
        <is>
          <t>Phase 9</t>
        </is>
      </c>
      <c r="F13" s="28" t="inlineStr">
        <is>
          <t>Day 3</t>
        </is>
      </c>
      <c r="G13" s="28" t="inlineStr">
        <is>
          <t>T1.3, B7</t>
        </is>
      </c>
    </row>
    <row r="14">
      <c r="A14" s="28" t="inlineStr">
        <is>
          <t>Not a phase</t>
        </is>
      </c>
      <c r="B14" s="28" t="inlineStr">
        <is>
          <t>Non-functional and submission (cross-cutting)</t>
        </is>
      </c>
      <c r="C14" s="28" t="inlineStr">
        <is>
          <t>FR-11-nonfunctional-and-submission.md</t>
        </is>
      </c>
      <c r="D14" s="28" t="inlineStr">
        <is>
          <t>Process</t>
        </is>
      </c>
      <c r="E14" s="28" t="inlineStr">
        <is>
          <t>applies to all</t>
        </is>
      </c>
      <c r="F14" s="28" t="inlineStr">
        <is>
          <t>Daily</t>
        </is>
      </c>
      <c r="G14" s="28" t="inlineStr">
        <is>
          <t>P1, P2, P3, P4, P5</t>
        </is>
      </c>
    </row>
    <row r="16">
      <c r="A16" s="27" t="inlineStr">
        <is>
          <t>Tracks A, B and C run in parallel once Phase 2 lands; within a track the phases are sequential.</t>
        </is>
      </c>
    </row>
    <row r="17">
      <c r="A17" s="27" t="inlineStr">
        <is>
          <t>Also in docs/specifications/: specindex.md (index) and FR-12-not-delivered.md (L3/L4, web UI, round-trip editing - no tasks).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Critical path and scope notes</t>
        </is>
      </c>
    </row>
    <row r="2">
      <c r="A2" s="29" t="inlineStr"/>
    </row>
    <row r="3">
      <c r="A3" s="30" t="inlineStr">
        <is>
          <t>T0.x -&gt; T1.1 -&gt; A1 -&gt; A2 -&gt; A3 -&gt; A4 -&gt; A5 -&gt; A6 ----------------------+</t>
        </is>
      </c>
    </row>
    <row r="4">
      <c r="A4" s="30" t="inlineStr">
        <is>
          <t xml:space="preserve">        T1.1 -&gt; T1.2/T1.4 -&gt; B1 -&gt; B2 ;  B3 -&gt; B4 -&gt; B5 -&gt; B6 ---------+--&gt; C5 end-to-end -&gt; C6 -&gt; P5</t>
        </is>
      </c>
    </row>
    <row r="5">
      <c r="A5" s="30" t="inlineStr">
        <is>
          <t xml:space="preserve">        T0.2 -&gt; C1 (on MSL example) -&gt; C2 -&gt; C3 -&gt; C4 ------------------+</t>
        </is>
      </c>
    </row>
    <row r="6">
      <c r="A6" s="29" t="inlineStr"/>
    </row>
    <row r="7">
      <c r="A7" s="29" t="inlineStr">
        <is>
          <t>Day 1: Phase 1 + Phase 2 (the IR schema is the contract - freeze it first).</t>
        </is>
      </c>
    </row>
    <row r="8">
      <c r="A8" s="29" t="inlineStr">
        <is>
          <t>Day 2: Tracks A (Phases 3-4), B (Phases 5-6), C (Phases 7-8) in parallel against the golden IR, so nobody waits on extraction.</t>
        </is>
      </c>
    </row>
    <row r="9">
      <c r="A9" s="29" t="inlineStr">
        <is>
          <t>Day 3: Phase 9 - integrate on L1, run C6 on unseen specs, prepare deck and demo. Phase 10 only if time allows.</t>
        </is>
      </c>
    </row>
    <row r="10">
      <c r="A10" s="29" t="inlineStr"/>
    </row>
    <row r="11">
      <c r="A11" s="29" t="inlineStr">
        <is>
          <t>Biggest risks: T0.2 (omc + MSL) and T0.3 (SysML v2 validator) - tool friction sinks teams; settle on day 1.</t>
        </is>
      </c>
    </row>
    <row r="12">
      <c r="A12" s="29" t="inlineStr">
        <is>
          <t>Cut rule: drop Phase 10 (T1.3, B7) and A7 before dropping C2 or C6. One case end to end, verified against acceptance criteria and robust to an unseen spec, beats breadth.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2026-09-24T09:06:54Z</dcterms:created>
  <dcterms:modified xmlns:dcterms="http://purl.org/dc/terms/" xmlns:xsi="http://www.w3.org/2001/XMLSchema-instance" xsi:type="dcterms:W3CDTF">2026-09-24T09:06:54Z</dcterms:modified>
</cp:coreProperties>
</file>